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dq/0/Wrk/1/Office/Projects/Economic-Diplomacy-Institute-2026.01/SSHR-TG-2026.05/"/>
    </mc:Choice>
  </mc:AlternateContent>
  <xr:revisionPtr revIDLastSave="0" documentId="13_ncr:1_{16DE23A6-E63B-194B-B6D7-5D0A63917E55}" xr6:coauthVersionLast="47" xr6:coauthVersionMax="47" xr10:uidLastSave="{00000000-0000-0000-0000-000000000000}"/>
  <bookViews>
    <workbookView xWindow="25620" yWindow="920" windowWidth="16920" windowHeight="23660" tabRatio="272" xr2:uid="{00000000-000D-0000-FFFF-FFFF00000000}"/>
  </bookViews>
  <sheets>
    <sheet name="LineItems" sheetId="1" r:id="rId1"/>
    <sheet name="CategoryTotals" sheetId="4" r:id="rId2"/>
  </sheets>
  <definedNames>
    <definedName name="_xlnm.Print_Area" localSheetId="1">CategoryTotals!$A$1:$D$8</definedName>
    <definedName name="_xlnm.Print_Area" localSheetId="0">LineItems!$A$1:$F$23</definedName>
    <definedName name="_xlnm.Print_Titles" localSheetId="1">CategoryTotals!$3:$3</definedName>
    <definedName name="_xlnm.Print_Titles" localSheetId="0">LineItems!$3:$3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6" i="4"/>
  <c r="B4" i="4"/>
  <c r="B5" i="4"/>
  <c r="F20" i="1"/>
  <c r="F15" i="1"/>
  <c r="C6" i="4" s="1"/>
  <c r="F4" i="1"/>
  <c r="C4" i="4" s="1"/>
  <c r="F10" i="1"/>
  <c r="C5" i="4" s="1"/>
  <c r="B1" i="4"/>
  <c r="F25" i="1" l="1"/>
  <c r="C7" i="4"/>
  <c r="C8" i="4" s="1"/>
</calcChain>
</file>

<file path=xl/sharedStrings.xml><?xml version="1.0" encoding="utf-8"?>
<sst xmlns="http://schemas.openxmlformats.org/spreadsheetml/2006/main" count="54" uniqueCount="52">
  <si>
    <t xml:space="preserve"> </t>
  </si>
  <si>
    <t>&lt; LineItems</t>
  </si>
  <si>
    <t>CategoryTotals &gt;</t>
  </si>
  <si>
    <t>LineItems</t>
  </si>
  <si>
    <t>SSHR-TG 2026 Budget "Economic Statecraft for Small States (DQ)"</t>
  </si>
  <si>
    <t>CategoryTotals</t>
  </si>
  <si>
    <t>Senior/Research Fellow/Post-doctoral Fellow</t>
  </si>
  <si>
    <t>Count</t>
  </si>
  <si>
    <t>Description</t>
  </si>
  <si>
    <t>Senior/Research Associate</t>
  </si>
  <si>
    <t>Research Assistant</t>
  </si>
  <si>
    <t>Student Assistant</t>
  </si>
  <si>
    <t>Equipment</t>
  </si>
  <si>
    <t>Total (SGDk)</t>
  </si>
  <si>
    <t>EOM</t>
  </si>
  <si>
    <t>150 (y2-4)</t>
  </si>
  <si>
    <t>(Previous experience as research assistants.)  Work closely with PI and Post-doctoral Fellows on literature review, data analysis, and background and routine writing. Major roles in organising project workshops.</t>
  </si>
  <si>
    <t xml:space="preserve">Work as junior colleaguesdirectly with PI and Co-PI.  Where relevant, reshape their recent PhD work to better fit the themes of this project.  Capacity building, so look to their transitioning to junior faculty </t>
  </si>
  <si>
    <t>Work closely with PI, Co-PIs, and individual collaborators on specific sub-projects</t>
  </si>
  <si>
    <t>150 (y2-5)</t>
  </si>
  <si>
    <t>On-demand work at LKYSPP including information retrieveal, copy-editing, proof-reading, and helping the Research Associates in the project workshops</t>
  </si>
  <si>
    <t>10 (y2-5)</t>
  </si>
  <si>
    <t>Overseas Conference</t>
  </si>
  <si>
    <t>Notebooks</t>
  </si>
  <si>
    <t>New machines for postdocs, research assistants and associates</t>
  </si>
  <si>
    <t>Local LLM-capable desktop</t>
  </si>
  <si>
    <t>Machine for PI statistical and language analysis. Capability for on-machine LLM use with no Internet leakage</t>
  </si>
  <si>
    <t>Specialised data and LLM subscription</t>
  </si>
  <si>
    <t>Team use, managed by Research Assistants</t>
  </si>
  <si>
    <t>20 (y2-5)</t>
  </si>
  <si>
    <t>3-day workshop, SG</t>
  </si>
  <si>
    <t>Year (SGDk)</t>
  </si>
  <si>
    <t>Two 3-day workshops to bring together authors and discussants, about half from abroad. Flights, accommodations, per diem, local transportation, tax, catering. 20 participants</t>
  </si>
  <si>
    <t>100 (y2,4)</t>
  </si>
  <si>
    <t>Publication expenses</t>
  </si>
  <si>
    <r>
      <rPr>
        <b/>
        <sz val="12"/>
        <color theme="1"/>
        <rFont val="Arial"/>
        <family val="2"/>
        <scheme val="minor"/>
      </rPr>
      <t>OOE</t>
    </r>
    <r>
      <rPr>
        <sz val="12"/>
        <color theme="1"/>
        <rFont val="Arial"/>
        <family val="2"/>
        <scheme val="minor"/>
      </rPr>
      <t xml:space="preserve"> (abroad)</t>
    </r>
  </si>
  <si>
    <r>
      <t xml:space="preserve">OOE </t>
    </r>
    <r>
      <rPr>
        <sz val="12"/>
        <color theme="1"/>
        <rFont val="Arial"/>
        <family val="2"/>
        <scheme val="minor"/>
      </rPr>
      <t>(SG)</t>
    </r>
  </si>
  <si>
    <t>Local travel and quarterly team meals</t>
  </si>
  <si>
    <t>One team working dinner per quarter</t>
  </si>
  <si>
    <t>2 (y1-5)</t>
  </si>
  <si>
    <t>Visiting Professors/Research Visitors</t>
  </si>
  <si>
    <t>Two visiting Professors, one month a year</t>
  </si>
  <si>
    <t>60 (y2-5)</t>
  </si>
  <si>
    <t>Total:</t>
  </si>
  <si>
    <t>Total</t>
  </si>
  <si>
    <t>For map-making, image-licensing, production costs, and fees in certain cases  for open access</t>
  </si>
  <si>
    <t>Regional elite interviews, case-study research, fieldwork</t>
  </si>
  <si>
    <t>Airfare, accommodation</t>
  </si>
  <si>
    <t>For team members to present key findings, notably including US, UK, Germany (or Transatlantic more generally). Including airfare, accommodation, conference registration</t>
  </si>
  <si>
    <t>60 (y1-5)</t>
  </si>
  <si>
    <t>30 (y1-4)</t>
  </si>
  <si>
    <t>160 (y2-5)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</si>
</sst>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theme="3"/>
      <name val="Arial"/>
      <family val="2"/>
      <scheme val="major"/>
    </font>
    <font>
      <b/>
      <sz val="16"/>
      <color theme="3"/>
      <name val="Arial"/>
      <family val="2"/>
      <scheme val="major"/>
    </font>
    <font>
      <b/>
      <sz val="10"/>
      <color theme="4"/>
      <name val="Arial"/>
      <family val="2"/>
      <scheme val="major"/>
    </font>
    <font>
      <b/>
      <sz val="8"/>
      <color theme="4"/>
      <name val="Arial"/>
      <family val="2"/>
      <scheme val="major"/>
    </font>
    <font>
      <b/>
      <sz val="11"/>
      <color theme="0"/>
      <name val="Arial"/>
      <family val="2"/>
      <scheme val="major"/>
    </font>
    <font>
      <u/>
      <sz val="10"/>
      <color theme="1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ptos"/>
    </font>
    <font>
      <u/>
      <sz val="12"/>
      <color theme="10"/>
      <name val="Aptos"/>
    </font>
    <font>
      <b/>
      <sz val="12"/>
      <color theme="4"/>
      <name val="Aptos"/>
    </font>
    <font>
      <b/>
      <sz val="12"/>
      <color theme="3"/>
      <name val="Aptos"/>
    </font>
    <font>
      <b/>
      <sz val="12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3"/>
      </top>
      <bottom/>
      <diagonal/>
    </border>
  </borders>
  <cellStyleXfs count="7">
    <xf numFmtId="0" fontId="0" fillId="0" borderId="0">
      <alignment horizontal="left" vertical="center"/>
    </xf>
    <xf numFmtId="0" fontId="4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2" borderId="1" applyNumberFormat="0" applyAlignment="0" applyProtection="0"/>
    <xf numFmtId="0" fontId="3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horizontal="left" vertical="center"/>
    </xf>
  </cellStyleXfs>
  <cellXfs count="19">
    <xf numFmtId="0" fontId="0" fillId="0" borderId="0" xfId="0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1" fillId="0" borderId="0" xfId="6" applyFont="1" applyAlignment="1">
      <alignment horizontal="center"/>
    </xf>
    <xf numFmtId="0" fontId="10" fillId="0" borderId="0" xfId="0" applyFo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12" fillId="0" borderId="0" xfId="2" applyFont="1"/>
    <xf numFmtId="0" fontId="11" fillId="0" borderId="0" xfId="6" applyFont="1" applyAlignment="1">
      <alignment horizontal="right"/>
    </xf>
    <xf numFmtId="0" fontId="13" fillId="0" borderId="0" xfId="1" applyFont="1">
      <alignment vertical="center"/>
    </xf>
    <xf numFmtId="0" fontId="9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 wrapText="1"/>
    </xf>
    <xf numFmtId="0" fontId="10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left" vertical="top" wrapText="1"/>
    </xf>
  </cellXfs>
  <cellStyles count="7"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6" builtinId="8"/>
    <cellStyle name="Normal" xfId="0" builtinId="0" customBuiltin="1"/>
    <cellStyle name="Title" xfId="1" builtinId="15" customBuiltin="1"/>
  </cellStyles>
  <dxfs count="17">
    <dxf>
      <font>
        <strike val="0"/>
        <outline val="0"/>
        <shadow val="0"/>
        <vertAlign val="baseline"/>
        <sz val="12"/>
        <name val="Aptos"/>
        <scheme val="none"/>
      </font>
      <numFmt numFmtId="0" formatCode="General"/>
      <alignment horizontal="right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ptos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ptos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ptos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ptos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ptos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ptos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ptos"/>
        <scheme val="none"/>
      </font>
      <alignment horizontal="left" vertical="center" textRotation="0" wrapText="1" indent="0" justifyLastLine="0" shrinkToFit="0" readingOrder="0"/>
    </dxf>
    <dxf>
      <font>
        <b/>
        <i val="0"/>
        <color theme="3"/>
      </font>
      <fill>
        <patternFill>
          <bgColor theme="0" tint="-0.14996795556505021"/>
        </patternFill>
      </fill>
      <border>
        <bottom style="thin">
          <color theme="0" tint="-0.34998626667073579"/>
        </bottom>
        <horizontal style="thin">
          <color theme="0" tint="-0.34998626667073579"/>
        </horizontal>
      </border>
    </dxf>
    <dxf>
      <font>
        <b/>
        <i val="0"/>
        <color theme="0"/>
      </font>
      <fill>
        <patternFill>
          <bgColor theme="4"/>
        </patternFill>
      </fill>
    </dxf>
    <dxf>
      <font>
        <b val="0"/>
        <i val="0"/>
        <color theme="3"/>
      </font>
      <fill>
        <patternFill>
          <bgColor theme="0" tint="-4.9989318521683403E-2"/>
        </patternFill>
      </fill>
      <border>
        <bottom style="thin">
          <color theme="0" tint="-0.24994659260841701"/>
        </bottom>
        <vertical/>
        <horizontal style="thin">
          <color theme="0" tint="-0.24994659260841701"/>
        </horizontal>
      </border>
    </dxf>
  </dxfs>
  <tableStyles count="1" defaultTableStyle="College comparison tracker table" defaultPivotStyle="PivotStyleLight16">
    <tableStyle name="College comparison tracker table" pivot="0" count="3" xr9:uid="{00000000-0011-0000-FFFF-FFFF00000000}">
      <tableStyleElement type="wholeTable" dxfId="16"/>
      <tableStyleElement type="headerRow" dxfId="15"/>
      <tableStyleElement type="firstColumn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lications" displayName="Applications" ref="B3:F23" headerRowDxfId="13" dataDxfId="12" totalsRowDxfId="11" headerRowCellStyle="Normal" dataCellStyle="Normal">
  <tableColumns count="5">
    <tableColumn id="1" xr3:uid="{00000000-0010-0000-0000-000001000000}" name=" " totalsRowLabel="Total" dataDxfId="10"/>
    <tableColumn id="2" xr3:uid="{00000000-0010-0000-0000-000002000000}" name="Count" dataDxfId="9" dataCellStyle="Normal"/>
    <tableColumn id="3" xr3:uid="{00000000-0010-0000-0000-000003000000}" name="Description" dataDxfId="8" dataCellStyle="Normal"/>
    <tableColumn id="4" xr3:uid="{00000000-0010-0000-0000-000004000000}" name="Year (SGDk)" dataDxfId="7" dataCellStyle="Normal"/>
    <tableColumn id="5" xr3:uid="{5F6D4BDB-3766-BF47-A1F0-69FE3678A70D}" name="Total (SGDk)" dataDxfId="6" totalsRowDxfId="5" dataCellStyle="Normal"/>
  </tableColumns>
  <tableStyleInfo name="College comparison tracker table" showFirstColumn="0" showLastColumn="0" showRowStripes="1" showColumnStripes="0"/>
  <extLst>
    <ext xmlns:x14="http://schemas.microsoft.com/office/spreadsheetml/2009/9/main" uri="{504A1905-F514-4f6f-8877-14C23A59335A}">
      <x14:table altText="College applications table" altTextSummary="Enter information about college applications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arisons" displayName="Comparisons" ref="B3:C8" headerRowDxfId="4" dataDxfId="3" totalsRowDxfId="2" headerRowCellStyle="Normal">
  <tableColumns count="2">
    <tableColumn id="1" xr3:uid="{00000000-0010-0000-0100-000001000000}" name=" " totalsRowLabel="Total" dataDxfId="1"/>
    <tableColumn id="2" xr3:uid="{00000000-0010-0000-0100-000002000000}" name="Total (SGDk)" dataDxfId="0">
      <calculatedColumnFormula>G9</calculatedColumnFormula>
    </tableColumn>
  </tableColumns>
  <tableStyleInfo name="College comparison tracker table" showFirstColumn="0" showLastColumn="0" showRowStripes="1" showColumnStripes="0"/>
  <extLst>
    <ext xmlns:x14="http://schemas.microsoft.com/office/spreadsheetml/2009/9/main" uri="{504A1905-F514-4f6f-8877-14C23A59335A}">
      <x14:table altText="College comparisons table" altTextSummary="Enter information about college's to compare them."/>
    </ext>
  </extLst>
</table>
</file>

<file path=xl/theme/theme1.xml><?xml version="1.0" encoding="utf-8"?>
<a:theme xmlns:a="http://schemas.openxmlformats.org/drawingml/2006/main" name="Office Theme">
  <a:themeElements>
    <a:clrScheme name="Theme Colors">
      <a:dk1>
        <a:sysClr val="windowText" lastClr="000000"/>
      </a:dk1>
      <a:lt1>
        <a:sysClr val="window" lastClr="FFFFFF"/>
      </a:lt1>
      <a:dk2>
        <a:srgbClr val="373732"/>
      </a:dk2>
      <a:lt2>
        <a:srgbClr val="EDEDED"/>
      </a:lt2>
      <a:accent1>
        <a:srgbClr val="52A933"/>
      </a:accent1>
      <a:accent2>
        <a:srgbClr val="D9C047"/>
      </a:accent2>
      <a:accent3>
        <a:srgbClr val="C35C74"/>
      </a:accent3>
      <a:accent4>
        <a:srgbClr val="0CA2B1"/>
      </a:accent4>
      <a:accent5>
        <a:srgbClr val="EE9C4E"/>
      </a:accent5>
      <a:accent6>
        <a:srgbClr val="7F689E"/>
      </a:accent6>
      <a:hlink>
        <a:srgbClr val="0CA2B1"/>
      </a:hlink>
      <a:folHlink>
        <a:srgbClr val="7F689E"/>
      </a:folHlink>
    </a:clrScheme>
    <a:fontScheme name="Theme Fonts">
      <a:majorFont>
        <a:latin typeface="Arial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F25"/>
  <sheetViews>
    <sheetView showGridLines="0" tabSelected="1" zoomScaleNormal="100" workbookViewId="0">
      <selection activeCell="F6" sqref="F6"/>
    </sheetView>
  </sheetViews>
  <sheetFormatPr baseColWidth="10" defaultColWidth="8.83203125" defaultRowHeight="16" x14ac:dyDescent="0.15"/>
  <cols>
    <col min="1" max="1" width="1.5" style="4" customWidth="1"/>
    <col min="2" max="2" width="21.5" style="7" customWidth="1"/>
    <col min="3" max="3" width="8.5" style="1" customWidth="1"/>
    <col min="4" max="4" width="36.33203125" style="2" customWidth="1"/>
    <col min="5" max="6" width="12.83203125" style="1" customWidth="1"/>
    <col min="7" max="16384" width="8.83203125" style="4"/>
  </cols>
  <sheetData>
    <row r="1" spans="2:6" ht="15" customHeight="1" x14ac:dyDescent="0.2">
      <c r="B1" s="7" t="s">
        <v>4</v>
      </c>
      <c r="E1" s="3" t="s">
        <v>2</v>
      </c>
    </row>
    <row r="2" spans="2:6" ht="22.5" customHeight="1" x14ac:dyDescent="0.15">
      <c r="B2" s="7" t="s">
        <v>3</v>
      </c>
    </row>
    <row r="3" spans="2:6" ht="22.5" customHeight="1" x14ac:dyDescent="0.15">
      <c r="B3" s="7" t="s">
        <v>0</v>
      </c>
      <c r="C3" s="5" t="s">
        <v>7</v>
      </c>
      <c r="D3" s="2" t="s">
        <v>8</v>
      </c>
      <c r="E3" s="5" t="s">
        <v>31</v>
      </c>
      <c r="F3" s="5" t="s">
        <v>13</v>
      </c>
    </row>
    <row r="4" spans="2:6" ht="22.5" customHeight="1" x14ac:dyDescent="0.15">
      <c r="B4" s="11" t="s">
        <v>14</v>
      </c>
      <c r="C4" s="6"/>
      <c r="D4" s="7"/>
      <c r="E4" s="6"/>
      <c r="F4" s="13">
        <f>SUM(F5:F9)</f>
        <v>1730</v>
      </c>
    </row>
    <row r="5" spans="2:6" ht="102" x14ac:dyDescent="0.15">
      <c r="B5" s="7" t="s">
        <v>6</v>
      </c>
      <c r="C5" s="6">
        <v>2</v>
      </c>
      <c r="D5" s="7" t="s">
        <v>17</v>
      </c>
      <c r="E5" s="6" t="s">
        <v>15</v>
      </c>
      <c r="F5" s="6">
        <v>450</v>
      </c>
    </row>
    <row r="6" spans="2:6" ht="102" x14ac:dyDescent="0.15">
      <c r="B6" s="12" t="s">
        <v>9</v>
      </c>
      <c r="C6" s="6">
        <v>2</v>
      </c>
      <c r="D6" s="7" t="s">
        <v>16</v>
      </c>
      <c r="E6" s="6" t="s">
        <v>51</v>
      </c>
      <c r="F6" s="6">
        <v>640</v>
      </c>
    </row>
    <row r="7" spans="2:6" ht="51" x14ac:dyDescent="0.15">
      <c r="B7" s="12" t="s">
        <v>10</v>
      </c>
      <c r="C7" s="6">
        <v>3</v>
      </c>
      <c r="D7" s="7" t="s">
        <v>18</v>
      </c>
      <c r="E7" s="6" t="s">
        <v>19</v>
      </c>
      <c r="F7" s="6">
        <v>600</v>
      </c>
    </row>
    <row r="8" spans="2:6" ht="68" x14ac:dyDescent="0.15">
      <c r="B8" s="12" t="s">
        <v>11</v>
      </c>
      <c r="C8" s="6">
        <v>4</v>
      </c>
      <c r="D8" s="7" t="s">
        <v>20</v>
      </c>
      <c r="E8" s="6" t="s">
        <v>21</v>
      </c>
      <c r="F8" s="6">
        <v>40</v>
      </c>
    </row>
    <row r="9" spans="2:6" x14ac:dyDescent="0.15">
      <c r="B9" s="12"/>
      <c r="C9" s="6"/>
      <c r="D9" s="7"/>
      <c r="E9" s="6"/>
      <c r="F9" s="6"/>
    </row>
    <row r="10" spans="2:6" ht="17" x14ac:dyDescent="0.15">
      <c r="B10" s="11" t="s">
        <v>12</v>
      </c>
      <c r="C10" s="6"/>
      <c r="D10" s="7"/>
      <c r="E10" s="6"/>
      <c r="F10" s="13">
        <f>SUM(F11:F14)</f>
        <v>116</v>
      </c>
    </row>
    <row r="11" spans="2:6" ht="34" x14ac:dyDescent="0.15">
      <c r="B11" s="12" t="s">
        <v>23</v>
      </c>
      <c r="C11" s="6">
        <v>8</v>
      </c>
      <c r="D11" s="7" t="s">
        <v>24</v>
      </c>
      <c r="E11" s="6">
        <v>24</v>
      </c>
      <c r="F11" s="6">
        <v>24</v>
      </c>
    </row>
    <row r="12" spans="2:6" ht="51" x14ac:dyDescent="0.15">
      <c r="B12" s="12" t="s">
        <v>25</v>
      </c>
      <c r="C12" s="6">
        <v>1</v>
      </c>
      <c r="D12" s="7" t="s">
        <v>26</v>
      </c>
      <c r="E12" s="6">
        <v>12</v>
      </c>
      <c r="F12" s="6">
        <v>12</v>
      </c>
    </row>
    <row r="13" spans="2:6" ht="34" x14ac:dyDescent="0.15">
      <c r="B13" s="12" t="s">
        <v>27</v>
      </c>
      <c r="C13" s="6">
        <v>1</v>
      </c>
      <c r="D13" s="7" t="s">
        <v>28</v>
      </c>
      <c r="E13" s="6" t="s">
        <v>29</v>
      </c>
      <c r="F13" s="6">
        <v>80</v>
      </c>
    </row>
    <row r="14" spans="2:6" x14ac:dyDescent="0.15">
      <c r="B14" s="12"/>
      <c r="C14" s="6"/>
      <c r="D14" s="7"/>
      <c r="E14" s="6"/>
      <c r="F14" s="6"/>
    </row>
    <row r="15" spans="2:6" ht="17" x14ac:dyDescent="0.15">
      <c r="B15" s="11" t="s">
        <v>36</v>
      </c>
      <c r="C15" s="6"/>
      <c r="D15" s="7"/>
      <c r="E15" s="6"/>
      <c r="F15" s="13">
        <f>SUM(F16:F19)</f>
        <v>450</v>
      </c>
    </row>
    <row r="16" spans="2:6" ht="85" x14ac:dyDescent="0.15">
      <c r="B16" s="12" t="s">
        <v>30</v>
      </c>
      <c r="C16" s="6">
        <v>2</v>
      </c>
      <c r="D16" s="7" t="s">
        <v>32</v>
      </c>
      <c r="E16" s="6" t="s">
        <v>33</v>
      </c>
      <c r="F16" s="6">
        <v>200</v>
      </c>
    </row>
    <row r="17" spans="2:6" ht="51" x14ac:dyDescent="0.15">
      <c r="B17" s="12" t="s">
        <v>40</v>
      </c>
      <c r="C17" s="6">
        <v>8</v>
      </c>
      <c r="D17" s="7" t="s">
        <v>41</v>
      </c>
      <c r="E17" s="6" t="s">
        <v>42</v>
      </c>
      <c r="F17" s="6">
        <v>240</v>
      </c>
    </row>
    <row r="18" spans="2:6" ht="34" x14ac:dyDescent="0.15">
      <c r="B18" s="12" t="s">
        <v>37</v>
      </c>
      <c r="C18" s="6">
        <v>20</v>
      </c>
      <c r="D18" s="7" t="s">
        <v>38</v>
      </c>
      <c r="E18" s="6" t="s">
        <v>39</v>
      </c>
      <c r="F18" s="6">
        <v>10</v>
      </c>
    </row>
    <row r="19" spans="2:6" x14ac:dyDescent="0.15">
      <c r="B19" s="12"/>
      <c r="C19" s="6"/>
      <c r="D19" s="7"/>
      <c r="E19" s="6"/>
      <c r="F19" s="6"/>
    </row>
    <row r="20" spans="2:6" ht="17" x14ac:dyDescent="0.15">
      <c r="B20" s="12" t="s">
        <v>35</v>
      </c>
      <c r="C20" s="6"/>
      <c r="D20" s="7"/>
      <c r="E20" s="6"/>
      <c r="F20" s="13">
        <f>SUM(F21:F24)</f>
        <v>432</v>
      </c>
    </row>
    <row r="21" spans="2:6" ht="51" x14ac:dyDescent="0.15">
      <c r="B21" s="12" t="s">
        <v>34</v>
      </c>
      <c r="C21" s="6">
        <v>6</v>
      </c>
      <c r="D21" s="7" t="s">
        <v>45</v>
      </c>
      <c r="E21" s="6">
        <v>12</v>
      </c>
      <c r="F21" s="6">
        <v>12</v>
      </c>
    </row>
    <row r="22" spans="2:6" ht="51" x14ac:dyDescent="0.15">
      <c r="B22" s="16" t="s">
        <v>46</v>
      </c>
      <c r="C22" s="17">
        <v>8</v>
      </c>
      <c r="D22" s="18" t="s">
        <v>47</v>
      </c>
      <c r="E22" s="17" t="s">
        <v>50</v>
      </c>
      <c r="F22" s="17">
        <v>120</v>
      </c>
    </row>
    <row r="23" spans="2:6" ht="102" x14ac:dyDescent="0.15">
      <c r="B23" s="12" t="s">
        <v>22</v>
      </c>
      <c r="C23" s="6">
        <v>30</v>
      </c>
      <c r="D23" s="7" t="s">
        <v>48</v>
      </c>
      <c r="E23" s="6" t="s">
        <v>49</v>
      </c>
      <c r="F23" s="6">
        <v>300</v>
      </c>
    </row>
    <row r="25" spans="2:6" x14ac:dyDescent="0.15">
      <c r="E25" s="14" t="s">
        <v>43</v>
      </c>
      <c r="F25" s="14">
        <f>F4+F10+F15+F20</f>
        <v>2728</v>
      </c>
    </row>
  </sheetData>
  <hyperlinks>
    <hyperlink ref="E1" location="CategoryTotals!A1" display="CategoryTotals &gt;" xr:uid="{00000000-0004-0000-0000-000000000000}"/>
  </hyperlinks>
  <printOptions horizontalCentered="1"/>
  <pageMargins left="0.7" right="0.7" top="0.75" bottom="0.75" header="0.3" footer="0.3"/>
  <pageSetup fitToHeight="0" orientation="landscape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/>
    <pageSetUpPr autoPageBreaks="0" fitToPage="1"/>
  </sheetPr>
  <dimension ref="B1:C8"/>
  <sheetViews>
    <sheetView showGridLines="0" zoomScaleNormal="100" workbookViewId="0">
      <selection activeCell="C8" sqref="C8"/>
    </sheetView>
  </sheetViews>
  <sheetFormatPr baseColWidth="10" defaultColWidth="8.83203125" defaultRowHeight="16" x14ac:dyDescent="0.15"/>
  <cols>
    <col min="1" max="1" width="1.5" style="4" customWidth="1"/>
    <col min="2" max="2" width="18.1640625" style="4" customWidth="1"/>
    <col min="3" max="3" width="13.6640625" style="4" customWidth="1"/>
    <col min="4" max="4" width="17.83203125" style="4" customWidth="1"/>
    <col min="5" max="16384" width="8.83203125" style="4"/>
  </cols>
  <sheetData>
    <row r="1" spans="2:3" ht="15" customHeight="1" x14ac:dyDescent="0.2">
      <c r="B1" s="8" t="str">
        <f>LineItems!B1</f>
        <v>SSHR-TG 2026 Budget "Economic Statecraft for Small States (DQ)"</v>
      </c>
    </row>
    <row r="2" spans="2:3" ht="22.5" customHeight="1" x14ac:dyDescent="0.2">
      <c r="B2" s="10" t="s">
        <v>5</v>
      </c>
      <c r="C2" s="9" t="s">
        <v>1</v>
      </c>
    </row>
    <row r="3" spans="2:3" ht="23.25" customHeight="1" x14ac:dyDescent="0.15">
      <c r="B3" s="2" t="s">
        <v>0</v>
      </c>
      <c r="C3" s="2" t="s">
        <v>13</v>
      </c>
    </row>
    <row r="4" spans="2:3" ht="17" x14ac:dyDescent="0.15">
      <c r="B4" s="2" t="str">
        <f>LineItems!B4</f>
        <v>EOM</v>
      </c>
      <c r="C4" s="15">
        <f>LineItems!F4</f>
        <v>1730</v>
      </c>
    </row>
    <row r="5" spans="2:3" ht="17" x14ac:dyDescent="0.15">
      <c r="B5" s="2" t="str">
        <f>LineItems!B10</f>
        <v>Equipment</v>
      </c>
      <c r="C5" s="15">
        <f>LineItems!F10</f>
        <v>116</v>
      </c>
    </row>
    <row r="6" spans="2:3" ht="17" x14ac:dyDescent="0.15">
      <c r="B6" s="2" t="str">
        <f>LineItems!B15</f>
        <v>OOE (SG)</v>
      </c>
      <c r="C6" s="15">
        <f>LineItems!F15</f>
        <v>450</v>
      </c>
    </row>
    <row r="7" spans="2:3" ht="17" x14ac:dyDescent="0.15">
      <c r="B7" s="2" t="str">
        <f>LineItems!B20</f>
        <v>OOE (abroad)</v>
      </c>
      <c r="C7" s="15">
        <f>LineItems!F20</f>
        <v>432</v>
      </c>
    </row>
    <row r="8" spans="2:3" ht="17" x14ac:dyDescent="0.15">
      <c r="B8" s="2" t="s">
        <v>44</v>
      </c>
      <c r="C8" s="15">
        <f>SUM(C4:C7)</f>
        <v>2728</v>
      </c>
    </row>
  </sheetData>
  <hyperlinks>
    <hyperlink ref="C2" location="LineItems!A1" display="&lt; LineItems" xr:uid="{04CCC7D4-3092-BE4F-8B3B-90783255FE93}"/>
  </hyperlinks>
  <printOptions horizontalCentered="1"/>
  <pageMargins left="0.7" right="0.7" top="0.75" bottom="0.75" header="0.3" footer="0.3"/>
  <pageSetup fitToHeight="0" orientation="landscape" r:id="rId1"/>
  <headerFooter differentFirst="1">
    <oddFooter>Page &amp;P of &amp;N</oddFooter>
  </headerFooter>
  <ignoredErrors>
    <ignoredError sqref="C4:C8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TM10000069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LineItems</vt:lpstr>
      <vt:lpstr>CategoryTotals</vt:lpstr>
      <vt:lpstr>CategoryTotals!Print_Area</vt:lpstr>
      <vt:lpstr>LineItems!Print_Area</vt:lpstr>
      <vt:lpstr>CategoryTotals!Print_Titles</vt:lpstr>
      <vt:lpstr>LineItems!Print_Titles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Quah</dc:creator>
  <cp:lastModifiedBy>Danny Quah</cp:lastModifiedBy>
  <cp:lastPrinted>2014-12-05T17:55:24Z</cp:lastPrinted>
  <dcterms:created xsi:type="dcterms:W3CDTF">2014-10-29T22:50:16Z</dcterms:created>
  <dcterms:modified xsi:type="dcterms:W3CDTF">2026-06-28T09:11:26Z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TF10000043</vt:lpwstr>
  </property>
</Properties>
</file>